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_YONG_KIAN\Desktop\Python\portfolio_byBS\test_port\"/>
    </mc:Choice>
  </mc:AlternateContent>
  <xr:revisionPtr revIDLastSave="0" documentId="13_ncr:1_{5F48D3D2-E8B2-4412-87F4-1BD656D48362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Registration" sheetId="2" r:id="rId1"/>
    <sheet name="Master_Control" sheetId="3" r:id="rId2"/>
    <sheet name="Attendance_Sheet" sheetId="1" r:id="rId3"/>
    <sheet name="streamlit_reference_sheet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3" l="1"/>
  <c r="A1" i="2"/>
  <c r="J14" i="2"/>
  <c r="J13" i="2"/>
  <c r="J12" i="2"/>
  <c r="J11" i="2"/>
  <c r="J10" i="2"/>
  <c r="J9" i="2"/>
  <c r="J8" i="2"/>
  <c r="J7" i="2"/>
  <c r="J6" i="2"/>
  <c r="J5" i="2"/>
  <c r="A14" i="2"/>
  <c r="A13" i="2"/>
  <c r="A12" i="2"/>
  <c r="A11" i="2"/>
  <c r="A10" i="2"/>
  <c r="A9" i="2"/>
  <c r="A8" i="2"/>
  <c r="A7" i="2"/>
  <c r="A6" i="2"/>
  <c r="A5" i="2"/>
</calcChain>
</file>

<file path=xl/sharedStrings.xml><?xml version="1.0" encoding="utf-8"?>
<sst xmlns="http://schemas.openxmlformats.org/spreadsheetml/2006/main" count="340" uniqueCount="138">
  <si>
    <t>S/N</t>
  </si>
  <si>
    <t>Name</t>
  </si>
  <si>
    <t>No. of Tickets</t>
  </si>
  <si>
    <t>Date of Session</t>
  </si>
  <si>
    <t>Attendance</t>
  </si>
  <si>
    <t>Collected on Behalf</t>
  </si>
  <si>
    <t>Information:</t>
  </si>
  <si>
    <t>Key Search (Label):</t>
  </si>
  <si>
    <t>Key Search (Col):</t>
  </si>
  <si>
    <t xml:space="preserve">MASTER CONTROL </t>
  </si>
  <si>
    <t>Input (label):</t>
  </si>
  <si>
    <t>Input (Col):</t>
  </si>
  <si>
    <t>D</t>
  </si>
  <si>
    <t>Input (value)</t>
  </si>
  <si>
    <t>Master Control Reference:</t>
  </si>
  <si>
    <t>I</t>
  </si>
  <si>
    <t>Y</t>
  </si>
  <si>
    <t>A</t>
  </si>
  <si>
    <t>Col</t>
  </si>
  <si>
    <t>Num</t>
  </si>
  <si>
    <t>B</t>
  </si>
  <si>
    <t>C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</si>
  <si>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</si>
  <si>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</si>
  <si>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</si>
  <si>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</si>
  <si>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</si>
  <si>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</si>
  <si>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</si>
  <si>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</si>
  <si>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</si>
  <si>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</si>
  <si>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</si>
  <si>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</si>
  <si>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</si>
  <si>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</si>
  <si>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</si>
  <si>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Nope</t>
  </si>
  <si>
    <t>Number of Cols Detected:</t>
  </si>
  <si>
    <t>Data 1</t>
  </si>
  <si>
    <t>Data 2</t>
  </si>
  <si>
    <t>Data 3</t>
  </si>
  <si>
    <t>Data 4</t>
  </si>
  <si>
    <t>Data 5</t>
  </si>
  <si>
    <t>Cols</t>
  </si>
  <si>
    <t>Type</t>
  </si>
  <si>
    <t>Choice of graph</t>
  </si>
  <si>
    <t>None</t>
  </si>
  <si>
    <t>Data_col</t>
  </si>
  <si>
    <t>V_bar</t>
  </si>
  <si>
    <t>Words</t>
  </si>
  <si>
    <t>Int</t>
  </si>
  <si>
    <t>Name_1</t>
  </si>
  <si>
    <t>Name_2</t>
  </si>
  <si>
    <t>Name_3</t>
  </si>
  <si>
    <t>Name_4</t>
  </si>
  <si>
    <t>Name_5</t>
  </si>
  <si>
    <t>Gender</t>
  </si>
  <si>
    <t>Male</t>
  </si>
  <si>
    <t>Female</t>
  </si>
  <si>
    <t>Identification_no.</t>
  </si>
  <si>
    <t>XXXXXXXX1</t>
  </si>
  <si>
    <t>XXXXXXXX2</t>
  </si>
  <si>
    <t>XXXXXXXX3</t>
  </si>
  <si>
    <t>XXXXXXXX4</t>
  </si>
  <si>
    <t>XXXXXXXX5</t>
  </si>
  <si>
    <t>Location_1</t>
  </si>
  <si>
    <t>Location_2</t>
  </si>
  <si>
    <t>Company</t>
  </si>
  <si>
    <t>Company_2</t>
  </si>
  <si>
    <t>(Input the col that you want to query from)</t>
  </si>
  <si>
    <t>(Input the col that you want to change)</t>
  </si>
  <si>
    <t>(Input the col alphabet that you want to change)</t>
  </si>
  <si>
    <t>(Input the col alphabet that you want to query from)</t>
  </si>
  <si>
    <t>(Input the value that you want the querried to change to in col selected above)</t>
  </si>
  <si>
    <t>Location</t>
  </si>
  <si>
    <t>Guest Status</t>
  </si>
  <si>
    <t>normal</t>
  </si>
  <si>
    <t>special</t>
  </si>
  <si>
    <t>Special Tracking</t>
  </si>
  <si>
    <t>Col:</t>
  </si>
  <si>
    <t>value:</t>
  </si>
  <si>
    <t>Name_6</t>
  </si>
  <si>
    <t>XXXXXXXX6</t>
  </si>
  <si>
    <t>Name_7</t>
  </si>
  <si>
    <t>XXXXXXXX7</t>
  </si>
  <si>
    <t>Name_8</t>
  </si>
  <si>
    <t>XXXXXXXX8</t>
  </si>
  <si>
    <t>Name_9</t>
  </si>
  <si>
    <t>XXXXXXXX9</t>
  </si>
  <si>
    <t>Name_10</t>
  </si>
  <si>
    <t>XXXXXXXX10</t>
  </si>
  <si>
    <t>Name_11</t>
  </si>
  <si>
    <t>XXXXXXXX11</t>
  </si>
  <si>
    <t>Name_12</t>
  </si>
  <si>
    <t>XXXXXXXX12</t>
  </si>
  <si>
    <t>Name_13</t>
  </si>
  <si>
    <t>XXXXXXXX13</t>
  </si>
  <si>
    <t>Name_14</t>
  </si>
  <si>
    <t>XXXXXXXX14</t>
  </si>
  <si>
    <t>Name_15</t>
  </si>
  <si>
    <t>XXXXXXXX15</t>
  </si>
  <si>
    <t>Name_16</t>
  </si>
  <si>
    <t>XXXXXXXX16</t>
  </si>
  <si>
    <t>Name_17</t>
  </si>
  <si>
    <t>XXXXXXXX17</t>
  </si>
  <si>
    <t>Name_18</t>
  </si>
  <si>
    <t>XXXXXXXX18</t>
  </si>
  <si>
    <t>Name_19</t>
  </si>
  <si>
    <t>XXXXXXXX19</t>
  </si>
  <si>
    <t>Name_20</t>
  </si>
  <si>
    <t>XXXXXXXX20</t>
  </si>
  <si>
    <t>Name_21</t>
  </si>
  <si>
    <t>XXXXXXXX21</t>
  </si>
  <si>
    <t>Name_22</t>
  </si>
  <si>
    <t>XXXXXXXX22</t>
  </si>
  <si>
    <t>Name_23</t>
  </si>
  <si>
    <t>XXXXXXXX23</t>
  </si>
  <si>
    <t>Name_24</t>
  </si>
  <si>
    <t>XXXXXXXX24</t>
  </si>
  <si>
    <t>Name_25</t>
  </si>
  <si>
    <t>XXXXXXXX25</t>
  </si>
  <si>
    <t>Name_26</t>
  </si>
  <si>
    <t>XXXXXXXX26</t>
  </si>
  <si>
    <t>Name_27</t>
  </si>
  <si>
    <t>XXXXXXXX27</t>
  </si>
  <si>
    <t>Name_28</t>
  </si>
  <si>
    <t>XXXXXXXX28</t>
  </si>
  <si>
    <t>Name_29</t>
  </si>
  <si>
    <t>XXXXXXXX29</t>
  </si>
  <si>
    <t>Name_30</t>
  </si>
  <si>
    <t>XXXXXXXX30</t>
  </si>
  <si>
    <t>Name_31</t>
  </si>
  <si>
    <t>XXXXXXXX31</t>
  </si>
  <si>
    <t>CompanyA</t>
  </si>
  <si>
    <t>CompanyB</t>
  </si>
  <si>
    <t>CompanyC</t>
  </si>
  <si>
    <t>displot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</si>
</sst>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5">
    <xf numFmtId="0" fontId="0" fillId="0" borderId="0" xfId="0"/>
    <xf numFmtId="0" fontId="1" fillId="2" borderId="3" xfId="1" applyBorder="1"/>
    <xf numFmtId="0" fontId="0" fillId="0" borderId="2" xfId="0" applyBorder="1"/>
    <xf numFmtId="0" fontId="2" fillId="3" borderId="0" xfId="0" applyFont="1" applyFill="1" applyBorder="1"/>
    <xf numFmtId="0" fontId="2" fillId="0" borderId="2" xfId="0" applyFont="1" applyFill="1" applyBorder="1"/>
    <xf numFmtId="14" fontId="0" fillId="0" borderId="2" xfId="0" applyNumberFormat="1" applyBorder="1"/>
    <xf numFmtId="0" fontId="5" fillId="0" borderId="0" xfId="0" applyFont="1"/>
    <xf numFmtId="0" fontId="0" fillId="0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2" xfId="1" applyFont="1" applyFill="1" applyBorder="1"/>
    <xf numFmtId="0" fontId="1" fillId="2" borderId="7" xfId="1" applyBorder="1"/>
    <xf numFmtId="0" fontId="1" fillId="2" borderId="2" xfId="1" applyBorder="1"/>
    <xf numFmtId="0" fontId="0" fillId="0" borderId="0" xfId="0" applyBorder="1"/>
    <xf numFmtId="0" fontId="4" fillId="0" borderId="0" xfId="0" applyFont="1" applyBorder="1" applyAlignment="1"/>
    <xf numFmtId="0" fontId="0" fillId="0" borderId="0" xfId="0" applyBorder="1" applyAlignment="1"/>
    <xf numFmtId="14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0</xdr:row>
          <xdr:rowOff>99060</xdr:rowOff>
        </xdr:from>
        <xdr:to>
          <xdr:col>8</xdr:col>
          <xdr:colOff>373380</xdr:colOff>
          <xdr:row>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Streamlit application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4"/>
  <sheetViews>
    <sheetView workbookViewId="0">
      <selection activeCell="J13" sqref="J13"/>
    </sheetView>
  </sheetViews>
  <sheetFormatPr defaultColWidth="9.109375" defaultRowHeight="14.4" x14ac:dyDescent="0.3"/>
  <cols>
    <col min="1" max="1" width="18.5546875" style="3" bestFit="1" customWidth="1"/>
    <col min="2" max="9" width="9.109375" style="3"/>
    <col min="10" max="10" width="11.109375" style="3" bestFit="1" customWidth="1"/>
    <col min="11" max="16384" width="9.109375" style="3"/>
  </cols>
  <sheetData>
    <row r="1" spans="1:18" x14ac:dyDescent="0.3">
      <c r="A1" s="19" t="str">
        <f>IF(Master_Control!B3=0,"Please enter a key search label in the master control",Master_Control!B3)</f>
        <v>Identification_no.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 x14ac:dyDescent="0.3">
      <c r="A2" s="19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 x14ac:dyDescent="0.3">
      <c r="A3" s="19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8" x14ac:dyDescent="0.3">
      <c r="A4" s="20" t="s">
        <v>6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x14ac:dyDescent="0.3">
      <c r="A5" s="4" t="str">
        <f>IF(NOT(Attendance_Sheet!A$1=0),Attendance_Sheet!A$1,"")</f>
        <v>S/N</v>
      </c>
      <c r="B5" s="18">
        <v>2</v>
      </c>
      <c r="C5" s="18"/>
      <c r="D5" s="18"/>
      <c r="E5" s="18"/>
      <c r="F5" s="18"/>
      <c r="G5" s="18"/>
      <c r="H5" s="18"/>
      <c r="I5" s="18"/>
      <c r="J5" s="4" t="str">
        <f>IF(NOT(Attendance_Sheet!K$1=0),Attendance_Sheet!K$1,"")</f>
        <v>Guest Status</v>
      </c>
      <c r="K5" s="18" t="s">
        <v>77</v>
      </c>
      <c r="L5" s="18"/>
      <c r="M5" s="18"/>
      <c r="N5" s="18"/>
      <c r="O5" s="18"/>
      <c r="P5" s="18"/>
      <c r="Q5" s="18"/>
      <c r="R5" s="18"/>
    </row>
    <row r="6" spans="1:18" x14ac:dyDescent="0.3">
      <c r="A6" s="4" t="str">
        <f>IF(NOT(Attendance_Sheet!B$1=0),Attendance_Sheet!B$1,"")</f>
        <v>Name</v>
      </c>
      <c r="B6" s="18" t="s">
        <v>53</v>
      </c>
      <c r="C6" s="18"/>
      <c r="D6" s="18"/>
      <c r="E6" s="18"/>
      <c r="F6" s="18"/>
      <c r="G6" s="18"/>
      <c r="H6" s="18"/>
      <c r="I6" s="18"/>
      <c r="J6" s="4" t="str">
        <f>IF(NOT(Attendance_Sheet!L$1=0),Attendance_Sheet!L$1,"")</f>
        <v/>
      </c>
      <c r="K6" s="18"/>
      <c r="L6" s="18"/>
      <c r="M6" s="18"/>
      <c r="N6" s="18"/>
      <c r="O6" s="18"/>
      <c r="P6" s="18"/>
      <c r="Q6" s="18"/>
      <c r="R6" s="18"/>
    </row>
    <row r="7" spans="1:18" x14ac:dyDescent="0.3">
      <c r="A7" s="4" t="str">
        <f>IF(NOT(Attendance_Sheet!C$1=0),Attendance_Sheet!C$1,"")</f>
        <v>Gender</v>
      </c>
      <c r="B7" s="18" t="s">
        <v>59</v>
      </c>
      <c r="C7" s="18"/>
      <c r="D7" s="18"/>
      <c r="E7" s="18"/>
      <c r="F7" s="18"/>
      <c r="G7" s="18"/>
      <c r="H7" s="18"/>
      <c r="I7" s="18"/>
      <c r="J7" s="4" t="str">
        <f>IF(NOT(Attendance_Sheet!M$1=0),Attendance_Sheet!M$1,"")</f>
        <v/>
      </c>
      <c r="K7" s="18"/>
      <c r="L7" s="18"/>
      <c r="M7" s="18"/>
      <c r="N7" s="18"/>
      <c r="O7" s="18"/>
      <c r="P7" s="18"/>
      <c r="Q7" s="18"/>
      <c r="R7" s="18"/>
    </row>
    <row r="8" spans="1:18" x14ac:dyDescent="0.3">
      <c r="A8" s="4" t="str">
        <f>IF(NOT(Attendance_Sheet!D$1=0),Attendance_Sheet!D$1,"")</f>
        <v>Identification_no.</v>
      </c>
      <c r="B8" s="18" t="s">
        <v>62</v>
      </c>
      <c r="C8" s="18"/>
      <c r="D8" s="18"/>
      <c r="E8" s="18"/>
      <c r="F8" s="18"/>
      <c r="G8" s="18"/>
      <c r="H8" s="18"/>
      <c r="I8" s="18"/>
      <c r="J8" s="4" t="str">
        <f>IF(NOT(Attendance_Sheet!N$1=0),Attendance_Sheet!N$1,"")</f>
        <v/>
      </c>
      <c r="K8" s="18"/>
      <c r="L8" s="18"/>
      <c r="M8" s="18"/>
      <c r="N8" s="18"/>
      <c r="O8" s="18"/>
      <c r="P8" s="18"/>
      <c r="Q8" s="18"/>
      <c r="R8" s="18"/>
    </row>
    <row r="9" spans="1:18" x14ac:dyDescent="0.3">
      <c r="A9" s="4" t="str">
        <f>IF(NOT(Attendance_Sheet!E$1=0),Attendance_Sheet!E$1,"")</f>
        <v>Location</v>
      </c>
      <c r="B9" s="18" t="s">
        <v>67</v>
      </c>
      <c r="C9" s="18"/>
      <c r="D9" s="18"/>
      <c r="E9" s="18"/>
      <c r="F9" s="18"/>
      <c r="G9" s="18"/>
      <c r="H9" s="18"/>
      <c r="I9" s="18"/>
      <c r="J9" s="4" t="str">
        <f>IF(NOT(Attendance_Sheet!O$1=0),Attendance_Sheet!O$1,"")</f>
        <v/>
      </c>
      <c r="K9" s="18"/>
      <c r="L9" s="18"/>
      <c r="M9" s="18"/>
      <c r="N9" s="18"/>
      <c r="O9" s="18"/>
      <c r="P9" s="18"/>
      <c r="Q9" s="18"/>
      <c r="R9" s="18"/>
    </row>
    <row r="10" spans="1:18" x14ac:dyDescent="0.3">
      <c r="A10" s="4" t="str">
        <f>IF(NOT(Attendance_Sheet!F$1=0),Attendance_Sheet!F$1,"")</f>
        <v>Company</v>
      </c>
      <c r="B10" s="18" t="s">
        <v>69</v>
      </c>
      <c r="C10" s="18"/>
      <c r="D10" s="18"/>
      <c r="E10" s="18"/>
      <c r="F10" s="18"/>
      <c r="G10" s="18"/>
      <c r="H10" s="18"/>
      <c r="I10" s="18"/>
      <c r="J10" s="4" t="str">
        <f>IF(NOT(Attendance_Sheet!P$1=0),Attendance_Sheet!P$1,"")</f>
        <v/>
      </c>
      <c r="K10" s="18"/>
      <c r="L10" s="18"/>
      <c r="M10" s="18"/>
      <c r="N10" s="18"/>
      <c r="O10" s="18"/>
      <c r="P10" s="18"/>
      <c r="Q10" s="18"/>
      <c r="R10" s="18"/>
    </row>
    <row r="11" spans="1:18" x14ac:dyDescent="0.3">
      <c r="A11" s="4" t="str">
        <f>IF(NOT(Attendance_Sheet!G$1=0),Attendance_Sheet!G$1,"")</f>
        <v>No. of Tickets</v>
      </c>
      <c r="B11" s="18">
        <v>5</v>
      </c>
      <c r="C11" s="18"/>
      <c r="D11" s="18"/>
      <c r="E11" s="18"/>
      <c r="F11" s="18"/>
      <c r="G11" s="18"/>
      <c r="H11" s="18"/>
      <c r="I11" s="18"/>
      <c r="J11" s="4" t="str">
        <f>IF(NOT(Attendance_Sheet!Q$1=0),Attendance_Sheet!Q$1,"")</f>
        <v/>
      </c>
      <c r="K11" s="18"/>
      <c r="L11" s="18"/>
      <c r="M11" s="18"/>
      <c r="N11" s="18"/>
      <c r="O11" s="18"/>
      <c r="P11" s="18"/>
      <c r="Q11" s="18"/>
      <c r="R11" s="18"/>
    </row>
    <row r="12" spans="1:18" x14ac:dyDescent="0.3">
      <c r="A12" s="4" t="str">
        <f>IF(NOT(Attendance_Sheet!H$1=0),Attendance_Sheet!H$1,"")</f>
        <v>Date of Session</v>
      </c>
      <c r="B12" s="17">
        <v>43447</v>
      </c>
      <c r="C12" s="18"/>
      <c r="D12" s="18"/>
      <c r="E12" s="18"/>
      <c r="F12" s="18"/>
      <c r="G12" s="18"/>
      <c r="H12" s="18"/>
      <c r="I12" s="18"/>
      <c r="J12" s="4" t="str">
        <f>IF(NOT(Attendance_Sheet!R$1=0),Attendance_Sheet!R$1,"")</f>
        <v/>
      </c>
      <c r="K12" s="18"/>
      <c r="L12" s="18"/>
      <c r="M12" s="18"/>
      <c r="N12" s="18"/>
      <c r="O12" s="18"/>
      <c r="P12" s="18"/>
      <c r="Q12" s="18"/>
      <c r="R12" s="18"/>
    </row>
    <row r="13" spans="1:18" x14ac:dyDescent="0.3">
      <c r="A13" s="4" t="str">
        <f>IF(NOT(Attendance_Sheet!I$1=0),Attendance_Sheet!I$1,"")</f>
        <v>Attendance</v>
      </c>
      <c r="B13" s="18" t="s">
        <v>30</v>
      </c>
      <c r="C13" s="18"/>
      <c r="D13" s="18"/>
      <c r="E13" s="18"/>
      <c r="F13" s="18"/>
      <c r="G13" s="18"/>
      <c r="H13" s="18"/>
      <c r="I13" s="18"/>
      <c r="J13" s="4" t="str">
        <f>IF(NOT(Attendance_Sheet!S$1=0),Attendance_Sheet!S$1,"")</f>
        <v/>
      </c>
      <c r="K13" s="18"/>
      <c r="L13" s="18"/>
      <c r="M13" s="18"/>
      <c r="N13" s="18"/>
      <c r="O13" s="18"/>
      <c r="P13" s="18"/>
      <c r="Q13" s="18"/>
      <c r="R13" s="18"/>
    </row>
    <row r="14" spans="1:18" x14ac:dyDescent="0.3">
      <c r="A14" s="4" t="str">
        <f>IF(NOT(Attendance_Sheet!J$1=0),Attendance_Sheet!J$1,"")</f>
        <v>Collected on Behalf</v>
      </c>
      <c r="B14" s="18" t="s">
        <v>37</v>
      </c>
      <c r="C14" s="18"/>
      <c r="D14" s="18"/>
      <c r="E14" s="18"/>
      <c r="F14" s="18"/>
      <c r="G14" s="18"/>
      <c r="H14" s="18"/>
      <c r="I14" s="18"/>
      <c r="J14" s="4" t="str">
        <f>IF(NOT(Attendance_Sheet!T$1=0),Attendance_Sheet!T$1,"")</f>
        <v/>
      </c>
      <c r="K14" s="18"/>
      <c r="L14" s="18"/>
      <c r="M14" s="18"/>
      <c r="N14" s="18"/>
      <c r="O14" s="18"/>
      <c r="P14" s="18"/>
      <c r="Q14" s="18"/>
      <c r="R14" s="18"/>
    </row>
  </sheetData>
  <mergeCells count="23">
    <mergeCell ref="K14:R14"/>
    <mergeCell ref="B13:I13"/>
    <mergeCell ref="B14:I14"/>
    <mergeCell ref="K6:R6"/>
    <mergeCell ref="K7:R7"/>
    <mergeCell ref="K8:R8"/>
    <mergeCell ref="K9:R9"/>
    <mergeCell ref="K10:R10"/>
    <mergeCell ref="K11:R11"/>
    <mergeCell ref="K12:R12"/>
    <mergeCell ref="K13:R13"/>
    <mergeCell ref="B7:I7"/>
    <mergeCell ref="B8:I8"/>
    <mergeCell ref="B9:I9"/>
    <mergeCell ref="B10:I10"/>
    <mergeCell ref="B11:I11"/>
    <mergeCell ref="B12:I12"/>
    <mergeCell ref="A1:A3"/>
    <mergeCell ref="B1:R3"/>
    <mergeCell ref="A4:R4"/>
    <mergeCell ref="B5:I5"/>
    <mergeCell ref="K5:R5"/>
    <mergeCell ref="B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42"/>
  <sheetViews>
    <sheetView tabSelected="1" workbookViewId="0">
      <selection activeCell="C23" sqref="C23"/>
    </sheetView>
  </sheetViews>
  <sheetFormatPr defaultRowHeight="14.4" x14ac:dyDescent="0.3"/>
  <cols>
    <col min="1" max="1" width="17.44140625" bestFit="1" customWidth="1"/>
    <col min="2" max="2" width="15.6640625" bestFit="1" customWidth="1"/>
    <col min="3" max="3" width="65.88671875" bestFit="1" customWidth="1"/>
    <col min="4" max="4" width="24.6640625" bestFit="1" customWidth="1"/>
  </cols>
  <sheetData>
    <row r="1" spans="1:12" x14ac:dyDescent="0.3">
      <c r="A1" s="21" t="s">
        <v>9</v>
      </c>
      <c r="B1" s="21"/>
      <c r="C1" s="21"/>
      <c r="D1" s="21"/>
      <c r="E1" s="21"/>
      <c r="F1" s="21"/>
      <c r="G1" s="21"/>
      <c r="H1" s="21"/>
      <c r="I1" s="21"/>
      <c r="J1" s="21"/>
      <c r="K1" s="6" t="s">
        <v>18</v>
      </c>
      <c r="L1" s="6" t="s">
        <v>19</v>
      </c>
    </row>
    <row r="2" spans="1:12" x14ac:dyDescent="0.3">
      <c r="A2" s="21"/>
      <c r="B2" s="21"/>
      <c r="C2" s="21"/>
      <c r="D2" s="21"/>
      <c r="E2" s="21"/>
      <c r="F2" s="21"/>
      <c r="G2" s="21"/>
      <c r="H2" s="21"/>
      <c r="I2" s="21"/>
      <c r="J2" s="21"/>
      <c r="K2" s="6" t="s">
        <v>17</v>
      </c>
      <c r="L2" s="6">
        <v>1</v>
      </c>
    </row>
    <row r="3" spans="1:12" x14ac:dyDescent="0.3">
      <c r="A3" s="2" t="s">
        <v>7</v>
      </c>
      <c r="B3" s="2" t="s">
        <v>60</v>
      </c>
      <c r="C3" s="2" t="s">
        <v>70</v>
      </c>
      <c r="D3" s="2" t="s">
        <v>38</v>
      </c>
      <c r="E3" s="2"/>
      <c r="F3" s="2"/>
      <c r="G3" s="2"/>
      <c r="H3" s="2"/>
      <c r="I3" s="2"/>
      <c r="J3" s="2"/>
      <c r="K3" s="6" t="s">
        <v>20</v>
      </c>
      <c r="L3" s="6">
        <v>2</v>
      </c>
    </row>
    <row r="4" spans="1:12" x14ac:dyDescent="0.3">
      <c r="A4" s="2" t="s">
        <v>8</v>
      </c>
      <c r="B4" s="2" t="s">
        <v>12</v>
      </c>
      <c r="C4" s="2" t="s">
        <v>73</v>
      </c>
      <c r="D4" s="2"/>
      <c r="E4" s="2"/>
      <c r="F4" s="2"/>
      <c r="G4" s="2"/>
      <c r="H4" s="2"/>
      <c r="I4" s="2"/>
      <c r="J4" s="2"/>
      <c r="K4" s="6" t="s">
        <v>21</v>
      </c>
      <c r="L4" s="6">
        <v>3</v>
      </c>
    </row>
    <row r="5" spans="1:12" x14ac:dyDescent="0.3">
      <c r="A5" s="2"/>
      <c r="B5" s="2"/>
      <c r="C5" s="2"/>
      <c r="D5" s="2" t="s">
        <v>14</v>
      </c>
      <c r="E5" s="2"/>
      <c r="F5" s="2"/>
      <c r="G5" s="2"/>
      <c r="H5" s="2"/>
      <c r="I5" s="2"/>
      <c r="J5" s="2"/>
      <c r="K5" s="6" t="s">
        <v>12</v>
      </c>
      <c r="L5" s="6">
        <v>4</v>
      </c>
    </row>
    <row r="6" spans="1:12" x14ac:dyDescent="0.3">
      <c r="A6" s="2" t="s">
        <v>10</v>
      </c>
      <c r="B6" s="2" t="s">
        <v>4</v>
      </c>
      <c r="C6" s="2" t="s">
        <v>71</v>
      </c>
      <c r="D6" s="2" t="s">
        <v>10</v>
      </c>
      <c r="E6" s="2"/>
      <c r="F6" s="2"/>
      <c r="G6" s="2"/>
      <c r="H6" s="2"/>
      <c r="I6" s="2"/>
      <c r="J6" s="2"/>
      <c r="K6" s="6" t="s">
        <v>22</v>
      </c>
      <c r="L6" s="6">
        <v>5</v>
      </c>
    </row>
    <row r="7" spans="1:12" x14ac:dyDescent="0.3">
      <c r="A7" s="2" t="s">
        <v>11</v>
      </c>
      <c r="B7" s="2" t="s">
        <v>15</v>
      </c>
      <c r="C7" s="2" t="s">
        <v>72</v>
      </c>
      <c r="D7" s="2" t="s">
        <v>11</v>
      </c>
      <c r="E7" s="2">
        <f>LOOKUP(B7,K2:L21)</f>
        <v>9</v>
      </c>
      <c r="F7" s="2"/>
      <c r="G7" s="2"/>
      <c r="H7" s="2"/>
      <c r="I7" s="2"/>
      <c r="J7" s="2"/>
      <c r="K7" s="6" t="s">
        <v>23</v>
      </c>
      <c r="L7" s="6">
        <v>6</v>
      </c>
    </row>
    <row r="8" spans="1:12" x14ac:dyDescent="0.3">
      <c r="A8" s="2" t="s">
        <v>13</v>
      </c>
      <c r="B8" s="2" t="s">
        <v>16</v>
      </c>
      <c r="C8" s="2" t="s">
        <v>74</v>
      </c>
      <c r="D8" s="2" t="s">
        <v>13</v>
      </c>
      <c r="E8" s="2"/>
      <c r="F8" s="2"/>
      <c r="G8" s="2"/>
      <c r="H8" s="2"/>
      <c r="I8" s="2"/>
      <c r="J8" s="2"/>
      <c r="K8" s="6" t="s">
        <v>24</v>
      </c>
      <c r="L8" s="6">
        <v>7</v>
      </c>
    </row>
    <row r="9" spans="1:12" x14ac:dyDescent="0.3">
      <c r="K9" s="6" t="s">
        <v>25</v>
      </c>
      <c r="L9" s="6">
        <v>8</v>
      </c>
    </row>
    <row r="10" spans="1:12" x14ac:dyDescent="0.3">
      <c r="K10" s="6" t="s">
        <v>15</v>
      </c>
      <c r="L10" s="6">
        <v>9</v>
      </c>
    </row>
    <row r="11" spans="1:12" x14ac:dyDescent="0.3">
      <c r="K11" s="6" t="s">
        <v>26</v>
      </c>
      <c r="L11" s="6">
        <v>10</v>
      </c>
    </row>
    <row r="12" spans="1:12" x14ac:dyDescent="0.3">
      <c r="K12" s="6" t="s">
        <v>27</v>
      </c>
      <c r="L12" s="6">
        <v>11</v>
      </c>
    </row>
    <row r="13" spans="1:12" x14ac:dyDescent="0.3">
      <c r="K13" s="6" t="s">
        <v>28</v>
      </c>
      <c r="L13" s="6">
        <v>12</v>
      </c>
    </row>
    <row r="14" spans="1:12" x14ac:dyDescent="0.3">
      <c r="K14" s="6" t="s">
        <v>29</v>
      </c>
      <c r="L14" s="6">
        <v>13</v>
      </c>
    </row>
    <row r="15" spans="1:12" x14ac:dyDescent="0.3">
      <c r="C15" s="15"/>
      <c r="D15" s="15"/>
      <c r="E15" s="15"/>
      <c r="F15" s="15"/>
      <c r="K15" s="6" t="s">
        <v>30</v>
      </c>
      <c r="L15" s="6">
        <v>14</v>
      </c>
    </row>
    <row r="16" spans="1:12" x14ac:dyDescent="0.3">
      <c r="C16" s="14"/>
      <c r="D16" s="16"/>
      <c r="E16" s="16"/>
      <c r="F16" s="16"/>
      <c r="K16" s="6" t="s">
        <v>31</v>
      </c>
      <c r="L16" s="6">
        <v>15</v>
      </c>
    </row>
    <row r="17" spans="3:12" x14ac:dyDescent="0.3">
      <c r="C17" s="14"/>
      <c r="D17" s="16"/>
      <c r="E17" s="16"/>
      <c r="F17" s="16"/>
      <c r="K17" s="6" t="s">
        <v>32</v>
      </c>
      <c r="L17" s="6">
        <v>16</v>
      </c>
    </row>
    <row r="18" spans="3:12" x14ac:dyDescent="0.3">
      <c r="K18" s="6" t="s">
        <v>33</v>
      </c>
      <c r="L18" s="6">
        <v>17</v>
      </c>
    </row>
    <row r="19" spans="3:12" x14ac:dyDescent="0.3">
      <c r="K19" s="6" t="s">
        <v>34</v>
      </c>
      <c r="L19" s="6">
        <v>18</v>
      </c>
    </row>
    <row r="20" spans="3:12" x14ac:dyDescent="0.3">
      <c r="K20" s="6" t="s">
        <v>35</v>
      </c>
      <c r="L20" s="6">
        <v>19</v>
      </c>
    </row>
    <row r="21" spans="3:12" x14ac:dyDescent="0.3">
      <c r="K21" s="6" t="s">
        <v>36</v>
      </c>
      <c r="L21" s="6">
        <v>20</v>
      </c>
    </row>
    <row r="34" spans="1:10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</row>
    <row r="35" spans="1:10" x14ac:dyDescent="0.3">
      <c r="A35" s="7"/>
      <c r="B35" s="7"/>
      <c r="C35" s="7"/>
      <c r="D35" s="7"/>
      <c r="E35" s="7"/>
      <c r="F35" s="7"/>
      <c r="G35" s="7"/>
      <c r="H35" s="7"/>
      <c r="I35" s="7"/>
      <c r="J35" s="7"/>
    </row>
    <row r="36" spans="1:10" x14ac:dyDescent="0.3">
      <c r="A36" s="7"/>
      <c r="B36" s="7"/>
      <c r="C36" s="7"/>
      <c r="D36" s="7"/>
      <c r="E36" s="7"/>
      <c r="F36" s="7"/>
      <c r="G36" s="7"/>
      <c r="H36" s="7"/>
      <c r="I36" s="7"/>
      <c r="J36" s="7"/>
    </row>
    <row r="37" spans="1:10" x14ac:dyDescent="0.3">
      <c r="A37" s="7"/>
      <c r="B37" s="7"/>
      <c r="C37" s="7"/>
      <c r="D37" s="7"/>
      <c r="E37" s="7"/>
      <c r="F37" s="7"/>
      <c r="G37" s="7"/>
      <c r="H37" s="7"/>
      <c r="I37" s="7"/>
      <c r="J37" s="7"/>
    </row>
    <row r="38" spans="1:10" x14ac:dyDescent="0.3">
      <c r="A38" s="7"/>
      <c r="B38" s="7"/>
      <c r="C38" s="7"/>
      <c r="D38" s="7"/>
      <c r="E38" s="7"/>
      <c r="F38" s="7"/>
      <c r="G38" s="7"/>
      <c r="H38" s="7"/>
      <c r="I38" s="7"/>
      <c r="J38" s="7"/>
    </row>
    <row r="39" spans="1:10" x14ac:dyDescent="0.3">
      <c r="A39" s="7"/>
      <c r="B39" s="7"/>
      <c r="C39" s="7"/>
      <c r="D39" s="7"/>
      <c r="E39" s="7"/>
      <c r="F39" s="7"/>
      <c r="G39" s="7"/>
      <c r="H39" s="7"/>
      <c r="I39" s="7"/>
      <c r="J39" s="7"/>
    </row>
    <row r="40" spans="1:10" x14ac:dyDescent="0.3">
      <c r="A40" s="7"/>
      <c r="B40" s="7"/>
      <c r="C40" s="7"/>
      <c r="D40" s="7"/>
      <c r="E40" s="7"/>
      <c r="F40" s="7"/>
      <c r="G40" s="7"/>
      <c r="H40" s="7"/>
      <c r="I40" s="7"/>
      <c r="J40" s="7"/>
    </row>
    <row r="41" spans="1:10" x14ac:dyDescent="0.3">
      <c r="A41" s="7"/>
      <c r="B41" s="7"/>
      <c r="C41" s="7"/>
      <c r="D41" s="7"/>
      <c r="E41" s="7"/>
      <c r="F41" s="7"/>
      <c r="G41" s="7"/>
      <c r="H41" s="7"/>
      <c r="I41" s="7"/>
      <c r="J41" s="7"/>
    </row>
    <row r="42" spans="1:10" x14ac:dyDescent="0.3">
      <c r="A42" s="7"/>
      <c r="B42" s="7"/>
      <c r="C42" s="7"/>
      <c r="D42" s="7"/>
      <c r="E42" s="7"/>
      <c r="F42" s="7"/>
      <c r="G42" s="7"/>
      <c r="H42" s="7"/>
      <c r="I42" s="7"/>
      <c r="J42" s="7"/>
    </row>
  </sheetData>
  <mergeCells count="2">
    <mergeCell ref="A1:J2"/>
    <mergeCell ref="A34:J3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"/>
  <sheetViews>
    <sheetView topLeftCell="C1" workbookViewId="0">
      <selection activeCell="H5" sqref="H5"/>
    </sheetView>
  </sheetViews>
  <sheetFormatPr defaultRowHeight="14.4" x14ac:dyDescent="0.3"/>
  <cols>
    <col min="2" max="2" width="14.5546875" bestFit="1" customWidth="1"/>
    <col min="3" max="3" width="12" bestFit="1" customWidth="1"/>
    <col min="4" max="4" width="16.109375" bestFit="1" customWidth="1"/>
    <col min="5" max="5" width="12.5546875" customWidth="1"/>
    <col min="6" max="6" width="11.6640625" bestFit="1" customWidth="1"/>
    <col min="7" max="7" width="13.109375" bestFit="1" customWidth="1"/>
    <col min="8" max="8" width="14.6640625" bestFit="1" customWidth="1"/>
    <col min="9" max="9" width="11.33203125" bestFit="1" customWidth="1"/>
    <col min="10" max="10" width="18.5546875" bestFit="1" customWidth="1"/>
    <col min="11" max="11" width="11.44140625" style="2" bestFit="1" customWidth="1"/>
  </cols>
  <sheetData>
    <row r="1" spans="1:11" ht="15" thickTop="1" x14ac:dyDescent="0.3">
      <c r="A1" s="1" t="s">
        <v>0</v>
      </c>
      <c r="B1" s="1" t="s">
        <v>1</v>
      </c>
      <c r="C1" s="1" t="s">
        <v>57</v>
      </c>
      <c r="D1" s="1" t="s">
        <v>60</v>
      </c>
      <c r="E1" s="1" t="s">
        <v>75</v>
      </c>
      <c r="F1" s="1" t="s">
        <v>68</v>
      </c>
      <c r="G1" s="1" t="s">
        <v>2</v>
      </c>
      <c r="H1" s="1" t="s">
        <v>3</v>
      </c>
      <c r="I1" s="1" t="s">
        <v>4</v>
      </c>
      <c r="J1" s="12" t="s">
        <v>5</v>
      </c>
      <c r="K1" s="13" t="s">
        <v>76</v>
      </c>
    </row>
    <row r="2" spans="1:11" x14ac:dyDescent="0.3">
      <c r="A2" s="2">
        <v>1</v>
      </c>
      <c r="B2" s="2" t="s">
        <v>52</v>
      </c>
      <c r="C2" s="2" t="s">
        <v>58</v>
      </c>
      <c r="D2" s="2" t="s">
        <v>61</v>
      </c>
      <c r="E2" s="2" t="s">
        <v>66</v>
      </c>
      <c r="F2" s="2" t="s">
        <v>134</v>
      </c>
      <c r="G2" s="2">
        <v>4</v>
      </c>
      <c r="H2" s="5">
        <v>43446</v>
      </c>
      <c r="I2" s="2" t="s">
        <v>16</v>
      </c>
      <c r="J2" s="8" t="s">
        <v>37</v>
      </c>
      <c r="K2" s="2" t="s">
        <v>77</v>
      </c>
    </row>
    <row r="3" spans="1:11" x14ac:dyDescent="0.3">
      <c r="A3" s="2">
        <v>2</v>
      </c>
      <c r="B3" s="2" t="s">
        <v>53</v>
      </c>
      <c r="C3" s="2" t="s">
        <v>59</v>
      </c>
      <c r="D3" s="2" t="s">
        <v>62</v>
      </c>
      <c r="E3" s="2" t="s">
        <v>66</v>
      </c>
      <c r="F3" s="2" t="s">
        <v>135</v>
      </c>
      <c r="G3" s="2">
        <v>5</v>
      </c>
      <c r="H3" s="5">
        <v>43446</v>
      </c>
      <c r="I3" s="2" t="s">
        <v>16</v>
      </c>
      <c r="J3" s="8" t="s">
        <v>37</v>
      </c>
      <c r="K3" s="2" t="s">
        <v>77</v>
      </c>
    </row>
    <row r="4" spans="1:11" x14ac:dyDescent="0.3">
      <c r="A4" s="2">
        <v>3</v>
      </c>
      <c r="B4" s="2" t="s">
        <v>54</v>
      </c>
      <c r="C4" s="2" t="s">
        <v>58</v>
      </c>
      <c r="D4" s="2" t="s">
        <v>63</v>
      </c>
      <c r="E4" s="2" t="s">
        <v>66</v>
      </c>
      <c r="F4" s="2" t="s">
        <v>134</v>
      </c>
      <c r="G4" s="2">
        <v>6</v>
      </c>
      <c r="H4" s="5">
        <v>43446</v>
      </c>
      <c r="I4" s="2" t="s">
        <v>16</v>
      </c>
      <c r="J4" s="8" t="s">
        <v>37</v>
      </c>
      <c r="K4" s="2" t="s">
        <v>78</v>
      </c>
    </row>
    <row r="5" spans="1:11" x14ac:dyDescent="0.3">
      <c r="A5" s="2">
        <v>4</v>
      </c>
      <c r="B5" s="2" t="s">
        <v>55</v>
      </c>
      <c r="C5" s="2" t="s">
        <v>59</v>
      </c>
      <c r="D5" s="2" t="s">
        <v>64</v>
      </c>
      <c r="E5" s="2" t="s">
        <v>66</v>
      </c>
      <c r="F5" s="2" t="s">
        <v>135</v>
      </c>
      <c r="G5" s="2">
        <v>7</v>
      </c>
      <c r="H5" s="5">
        <v>43446</v>
      </c>
      <c r="I5" s="2" t="s">
        <v>30</v>
      </c>
      <c r="J5" s="8" t="s">
        <v>37</v>
      </c>
      <c r="K5" s="2" t="s">
        <v>77</v>
      </c>
    </row>
    <row r="6" spans="1:11" x14ac:dyDescent="0.3">
      <c r="A6" s="2">
        <v>5</v>
      </c>
      <c r="B6" s="2" t="s">
        <v>56</v>
      </c>
      <c r="C6" s="2" t="s">
        <v>58</v>
      </c>
      <c r="D6" s="2" t="s">
        <v>65</v>
      </c>
      <c r="E6" s="2" t="s">
        <v>66</v>
      </c>
      <c r="F6" s="2" t="s">
        <v>134</v>
      </c>
      <c r="G6" s="2">
        <v>8</v>
      </c>
      <c r="H6" s="5">
        <v>43446</v>
      </c>
      <c r="I6" s="2" t="s">
        <v>30</v>
      </c>
      <c r="J6" s="8" t="s">
        <v>37</v>
      </c>
      <c r="K6" s="2" t="s">
        <v>77</v>
      </c>
    </row>
    <row r="7" spans="1:11" x14ac:dyDescent="0.3">
      <c r="A7" s="2">
        <v>6</v>
      </c>
      <c r="B7" s="2" t="s">
        <v>82</v>
      </c>
      <c r="C7" s="2" t="s">
        <v>58</v>
      </c>
      <c r="D7" s="2" t="s">
        <v>83</v>
      </c>
      <c r="E7" s="2" t="s">
        <v>66</v>
      </c>
      <c r="F7" s="2" t="s">
        <v>135</v>
      </c>
      <c r="G7" s="2">
        <v>9</v>
      </c>
      <c r="H7" s="5">
        <v>43446</v>
      </c>
      <c r="I7" s="2" t="s">
        <v>16</v>
      </c>
      <c r="J7" s="8" t="s">
        <v>37</v>
      </c>
      <c r="K7" s="2" t="s">
        <v>77</v>
      </c>
    </row>
    <row r="8" spans="1:11" x14ac:dyDescent="0.3">
      <c r="A8" s="2">
        <v>7</v>
      </c>
      <c r="B8" s="2" t="s">
        <v>84</v>
      </c>
      <c r="C8" s="2" t="s">
        <v>59</v>
      </c>
      <c r="D8" s="2" t="s">
        <v>85</v>
      </c>
      <c r="E8" s="2" t="s">
        <v>66</v>
      </c>
      <c r="F8" s="2" t="s">
        <v>134</v>
      </c>
      <c r="G8" s="2">
        <v>10</v>
      </c>
      <c r="H8" s="5">
        <v>43446</v>
      </c>
      <c r="I8" s="2" t="s">
        <v>16</v>
      </c>
      <c r="J8" s="8" t="s">
        <v>37</v>
      </c>
      <c r="K8" s="2" t="s">
        <v>77</v>
      </c>
    </row>
    <row r="9" spans="1:11" x14ac:dyDescent="0.3">
      <c r="A9" s="2">
        <v>8</v>
      </c>
      <c r="B9" s="2" t="s">
        <v>86</v>
      </c>
      <c r="C9" s="2" t="s">
        <v>58</v>
      </c>
      <c r="D9" s="2" t="s">
        <v>87</v>
      </c>
      <c r="E9" s="2" t="s">
        <v>66</v>
      </c>
      <c r="F9" s="2" t="s">
        <v>135</v>
      </c>
      <c r="G9" s="2">
        <v>11</v>
      </c>
      <c r="H9" s="5">
        <v>43446</v>
      </c>
      <c r="I9" s="2" t="s">
        <v>16</v>
      </c>
      <c r="J9" s="8" t="s">
        <v>37</v>
      </c>
      <c r="K9" s="2" t="s">
        <v>78</v>
      </c>
    </row>
    <row r="10" spans="1:11" x14ac:dyDescent="0.3">
      <c r="A10" s="2">
        <v>9</v>
      </c>
      <c r="B10" s="2" t="s">
        <v>88</v>
      </c>
      <c r="C10" s="2" t="s">
        <v>59</v>
      </c>
      <c r="D10" s="2" t="s">
        <v>89</v>
      </c>
      <c r="E10" s="2" t="s">
        <v>66</v>
      </c>
      <c r="F10" s="2" t="s">
        <v>134</v>
      </c>
      <c r="G10" s="2">
        <v>12</v>
      </c>
      <c r="H10" s="5">
        <v>43446</v>
      </c>
      <c r="I10" s="2" t="s">
        <v>30</v>
      </c>
      <c r="J10" s="8" t="s">
        <v>37</v>
      </c>
      <c r="K10" s="2" t="s">
        <v>77</v>
      </c>
    </row>
    <row r="11" spans="1:11" x14ac:dyDescent="0.3">
      <c r="A11" s="2">
        <v>10</v>
      </c>
      <c r="B11" s="2" t="s">
        <v>90</v>
      </c>
      <c r="C11" s="2" t="s">
        <v>58</v>
      </c>
      <c r="D11" s="2" t="s">
        <v>91</v>
      </c>
      <c r="E11" s="2" t="s">
        <v>66</v>
      </c>
      <c r="F11" s="2" t="s">
        <v>135</v>
      </c>
      <c r="G11" s="2">
        <v>13</v>
      </c>
      <c r="H11" s="5">
        <v>43446</v>
      </c>
      <c r="I11" s="2" t="s">
        <v>30</v>
      </c>
      <c r="J11" s="8" t="s">
        <v>37</v>
      </c>
      <c r="K11" s="2" t="s">
        <v>77</v>
      </c>
    </row>
    <row r="12" spans="1:11" x14ac:dyDescent="0.3">
      <c r="A12" s="2">
        <v>11</v>
      </c>
      <c r="B12" s="2" t="s">
        <v>92</v>
      </c>
      <c r="C12" s="2" t="s">
        <v>58</v>
      </c>
      <c r="D12" s="2" t="s">
        <v>93</v>
      </c>
      <c r="E12" s="2" t="s">
        <v>66</v>
      </c>
      <c r="F12" s="2" t="s">
        <v>134</v>
      </c>
      <c r="G12" s="2">
        <v>14</v>
      </c>
      <c r="H12" s="5">
        <v>43446</v>
      </c>
      <c r="I12" s="2" t="s">
        <v>16</v>
      </c>
      <c r="J12" s="8" t="s">
        <v>37</v>
      </c>
      <c r="K12" s="2" t="s">
        <v>77</v>
      </c>
    </row>
    <row r="13" spans="1:11" x14ac:dyDescent="0.3">
      <c r="A13" s="2">
        <v>12</v>
      </c>
      <c r="B13" s="2" t="s">
        <v>94</v>
      </c>
      <c r="C13" s="2" t="s">
        <v>59</v>
      </c>
      <c r="D13" s="2" t="s">
        <v>95</v>
      </c>
      <c r="E13" s="2" t="s">
        <v>66</v>
      </c>
      <c r="F13" s="2" t="s">
        <v>135</v>
      </c>
      <c r="G13" s="2">
        <v>15</v>
      </c>
      <c r="H13" s="5">
        <v>43446</v>
      </c>
      <c r="I13" s="2" t="s">
        <v>16</v>
      </c>
      <c r="J13" s="8" t="s">
        <v>37</v>
      </c>
      <c r="K13" s="2" t="s">
        <v>77</v>
      </c>
    </row>
    <row r="14" spans="1:11" x14ac:dyDescent="0.3">
      <c r="A14" s="2">
        <v>13</v>
      </c>
      <c r="B14" s="2" t="s">
        <v>96</v>
      </c>
      <c r="C14" s="2" t="s">
        <v>58</v>
      </c>
      <c r="D14" s="2" t="s">
        <v>97</v>
      </c>
      <c r="E14" s="2" t="s">
        <v>67</v>
      </c>
      <c r="F14" s="2" t="s">
        <v>134</v>
      </c>
      <c r="G14" s="2">
        <v>16</v>
      </c>
      <c r="H14" s="5">
        <v>43446</v>
      </c>
      <c r="I14" s="2" t="s">
        <v>16</v>
      </c>
      <c r="J14" s="8" t="s">
        <v>37</v>
      </c>
      <c r="K14" s="2" t="s">
        <v>78</v>
      </c>
    </row>
    <row r="15" spans="1:11" x14ac:dyDescent="0.3">
      <c r="A15" s="2">
        <v>14</v>
      </c>
      <c r="B15" s="2" t="s">
        <v>98</v>
      </c>
      <c r="C15" s="2" t="s">
        <v>59</v>
      </c>
      <c r="D15" s="2" t="s">
        <v>99</v>
      </c>
      <c r="E15" s="2" t="s">
        <v>67</v>
      </c>
      <c r="F15" s="2" t="s">
        <v>135</v>
      </c>
      <c r="G15" s="2">
        <v>17</v>
      </c>
      <c r="H15" s="5">
        <v>43446</v>
      </c>
      <c r="I15" s="2" t="s">
        <v>30</v>
      </c>
      <c r="J15" s="8" t="s">
        <v>37</v>
      </c>
      <c r="K15" s="2" t="s">
        <v>77</v>
      </c>
    </row>
    <row r="16" spans="1:11" x14ac:dyDescent="0.3">
      <c r="A16" s="2">
        <v>15</v>
      </c>
      <c r="B16" s="2" t="s">
        <v>100</v>
      </c>
      <c r="C16" s="2" t="s">
        <v>58</v>
      </c>
      <c r="D16" s="2" t="s">
        <v>101</v>
      </c>
      <c r="E16" s="2" t="s">
        <v>67</v>
      </c>
      <c r="F16" s="2" t="s">
        <v>134</v>
      </c>
      <c r="G16" s="2">
        <v>18</v>
      </c>
      <c r="H16" s="5">
        <v>43446</v>
      </c>
      <c r="I16" s="2" t="s">
        <v>30</v>
      </c>
      <c r="J16" s="8" t="s">
        <v>37</v>
      </c>
      <c r="K16" s="2" t="s">
        <v>77</v>
      </c>
    </row>
    <row r="17" spans="1:11" x14ac:dyDescent="0.3">
      <c r="A17" s="2">
        <v>16</v>
      </c>
      <c r="B17" s="2" t="s">
        <v>102</v>
      </c>
      <c r="C17" s="2" t="s">
        <v>58</v>
      </c>
      <c r="D17" s="2" t="s">
        <v>103</v>
      </c>
      <c r="E17" s="2" t="s">
        <v>67</v>
      </c>
      <c r="F17" s="2" t="s">
        <v>136</v>
      </c>
      <c r="G17" s="2">
        <v>19</v>
      </c>
      <c r="H17" s="5">
        <v>43446</v>
      </c>
      <c r="I17" s="2" t="s">
        <v>16</v>
      </c>
      <c r="J17" s="8" t="s">
        <v>37</v>
      </c>
      <c r="K17" s="2" t="s">
        <v>77</v>
      </c>
    </row>
    <row r="18" spans="1:11" x14ac:dyDescent="0.3">
      <c r="A18" s="2">
        <v>17</v>
      </c>
      <c r="B18" s="2" t="s">
        <v>104</v>
      </c>
      <c r="C18" s="2" t="s">
        <v>59</v>
      </c>
      <c r="D18" s="2" t="s">
        <v>105</v>
      </c>
      <c r="E18" s="2" t="s">
        <v>67</v>
      </c>
      <c r="F18" s="2" t="s">
        <v>136</v>
      </c>
      <c r="G18" s="2">
        <v>20</v>
      </c>
      <c r="H18" s="5">
        <v>43446</v>
      </c>
      <c r="I18" s="2" t="s">
        <v>16</v>
      </c>
      <c r="J18" s="8" t="s">
        <v>37</v>
      </c>
      <c r="K18" s="2" t="s">
        <v>77</v>
      </c>
    </row>
    <row r="19" spans="1:11" x14ac:dyDescent="0.3">
      <c r="A19" s="2">
        <v>18</v>
      </c>
      <c r="B19" s="2" t="s">
        <v>106</v>
      </c>
      <c r="C19" s="2" t="s">
        <v>58</v>
      </c>
      <c r="D19" s="2" t="s">
        <v>107</v>
      </c>
      <c r="E19" s="2" t="s">
        <v>67</v>
      </c>
      <c r="F19" s="2" t="s">
        <v>136</v>
      </c>
      <c r="G19" s="2">
        <v>21</v>
      </c>
      <c r="H19" s="5">
        <v>43446</v>
      </c>
      <c r="I19" s="2" t="s">
        <v>16</v>
      </c>
      <c r="J19" s="8" t="s">
        <v>37</v>
      </c>
      <c r="K19" s="2" t="s">
        <v>78</v>
      </c>
    </row>
    <row r="20" spans="1:11" x14ac:dyDescent="0.3">
      <c r="A20" s="2">
        <v>19</v>
      </c>
      <c r="B20" s="2" t="s">
        <v>108</v>
      </c>
      <c r="C20" s="2" t="s">
        <v>58</v>
      </c>
      <c r="D20" s="2" t="s">
        <v>109</v>
      </c>
      <c r="E20" s="2" t="s">
        <v>67</v>
      </c>
      <c r="F20" s="2" t="s">
        <v>136</v>
      </c>
      <c r="G20" s="2">
        <v>22</v>
      </c>
      <c r="H20" s="5">
        <v>43446</v>
      </c>
      <c r="I20" s="2" t="s">
        <v>16</v>
      </c>
      <c r="J20" s="8" t="s">
        <v>37</v>
      </c>
      <c r="K20" s="2" t="s">
        <v>77</v>
      </c>
    </row>
    <row r="21" spans="1:11" x14ac:dyDescent="0.3">
      <c r="A21" s="2">
        <v>20</v>
      </c>
      <c r="B21" s="2" t="s">
        <v>110</v>
      </c>
      <c r="C21" s="2" t="s">
        <v>59</v>
      </c>
      <c r="D21" s="2" t="s">
        <v>111</v>
      </c>
      <c r="E21" s="2" t="s">
        <v>67</v>
      </c>
      <c r="F21" s="2" t="s">
        <v>136</v>
      </c>
      <c r="G21" s="2">
        <v>23</v>
      </c>
      <c r="H21" s="5">
        <v>43465</v>
      </c>
      <c r="I21" s="2" t="s">
        <v>16</v>
      </c>
      <c r="J21" s="8" t="s">
        <v>37</v>
      </c>
      <c r="K21" s="2" t="s">
        <v>77</v>
      </c>
    </row>
    <row r="22" spans="1:11" x14ac:dyDescent="0.3">
      <c r="A22" s="2">
        <v>21</v>
      </c>
      <c r="B22" s="2" t="s">
        <v>112</v>
      </c>
      <c r="C22" s="2" t="s">
        <v>58</v>
      </c>
      <c r="D22" s="2" t="s">
        <v>113</v>
      </c>
      <c r="E22" s="2" t="s">
        <v>67</v>
      </c>
      <c r="F22" s="2" t="s">
        <v>136</v>
      </c>
      <c r="G22" s="2">
        <v>24</v>
      </c>
      <c r="H22" s="5">
        <v>43465</v>
      </c>
      <c r="I22" s="2" t="s">
        <v>16</v>
      </c>
      <c r="J22" s="8" t="s">
        <v>37</v>
      </c>
      <c r="K22" s="2" t="s">
        <v>78</v>
      </c>
    </row>
    <row r="23" spans="1:11" x14ac:dyDescent="0.3">
      <c r="A23" s="2">
        <v>22</v>
      </c>
      <c r="B23" s="2" t="s">
        <v>114</v>
      </c>
      <c r="C23" s="2" t="s">
        <v>59</v>
      </c>
      <c r="D23" s="2" t="s">
        <v>115</v>
      </c>
      <c r="E23" s="2" t="s">
        <v>67</v>
      </c>
      <c r="F23" s="2" t="s">
        <v>136</v>
      </c>
      <c r="G23" s="2">
        <v>25</v>
      </c>
      <c r="H23" s="5">
        <v>43465</v>
      </c>
      <c r="I23" s="2" t="s">
        <v>30</v>
      </c>
      <c r="J23" s="8" t="s">
        <v>37</v>
      </c>
      <c r="K23" s="2" t="s">
        <v>77</v>
      </c>
    </row>
    <row r="24" spans="1:11" x14ac:dyDescent="0.3">
      <c r="A24" s="2">
        <v>23</v>
      </c>
      <c r="B24" s="2" t="s">
        <v>116</v>
      </c>
      <c r="C24" s="2" t="s">
        <v>58</v>
      </c>
      <c r="D24" s="2" t="s">
        <v>117</v>
      </c>
      <c r="E24" s="2" t="s">
        <v>67</v>
      </c>
      <c r="F24" s="2" t="s">
        <v>136</v>
      </c>
      <c r="G24" s="2">
        <v>26</v>
      </c>
      <c r="H24" s="5">
        <v>43465</v>
      </c>
      <c r="I24" s="2" t="s">
        <v>30</v>
      </c>
      <c r="J24" s="8" t="s">
        <v>37</v>
      </c>
      <c r="K24" s="2" t="s">
        <v>77</v>
      </c>
    </row>
    <row r="25" spans="1:11" x14ac:dyDescent="0.3">
      <c r="A25" s="2">
        <v>24</v>
      </c>
      <c r="B25" s="2" t="s">
        <v>118</v>
      </c>
      <c r="C25" s="2" t="s">
        <v>58</v>
      </c>
      <c r="D25" s="2" t="s">
        <v>119</v>
      </c>
      <c r="E25" s="2" t="s">
        <v>67</v>
      </c>
      <c r="F25" s="2" t="s">
        <v>136</v>
      </c>
      <c r="G25" s="2">
        <v>27</v>
      </c>
      <c r="H25" s="5">
        <v>43465</v>
      </c>
      <c r="I25" s="2" t="s">
        <v>16</v>
      </c>
      <c r="J25" s="8" t="s">
        <v>37</v>
      </c>
      <c r="K25" s="2" t="s">
        <v>77</v>
      </c>
    </row>
    <row r="26" spans="1:11" x14ac:dyDescent="0.3">
      <c r="A26" s="2">
        <v>25</v>
      </c>
      <c r="B26" s="2" t="s">
        <v>120</v>
      </c>
      <c r="C26" s="2" t="s">
        <v>59</v>
      </c>
      <c r="D26" s="2" t="s">
        <v>121</v>
      </c>
      <c r="E26" s="2" t="s">
        <v>67</v>
      </c>
      <c r="F26" s="2" t="s">
        <v>136</v>
      </c>
      <c r="G26" s="2">
        <v>28</v>
      </c>
      <c r="H26" s="5">
        <v>43465</v>
      </c>
      <c r="I26" s="2" t="s">
        <v>16</v>
      </c>
      <c r="J26" s="8" t="s">
        <v>37</v>
      </c>
      <c r="K26" s="2" t="s">
        <v>77</v>
      </c>
    </row>
    <row r="27" spans="1:11" x14ac:dyDescent="0.3">
      <c r="A27" s="2">
        <v>26</v>
      </c>
      <c r="B27" s="2" t="s">
        <v>122</v>
      </c>
      <c r="C27" s="2" t="s">
        <v>58</v>
      </c>
      <c r="D27" s="2" t="s">
        <v>123</v>
      </c>
      <c r="E27" s="2" t="s">
        <v>67</v>
      </c>
      <c r="F27" s="2" t="s">
        <v>136</v>
      </c>
      <c r="G27" s="2">
        <v>29</v>
      </c>
      <c r="H27" s="5">
        <v>43465</v>
      </c>
      <c r="I27" s="2" t="s">
        <v>16</v>
      </c>
      <c r="J27" s="8" t="s">
        <v>37</v>
      </c>
      <c r="K27" s="2" t="s">
        <v>78</v>
      </c>
    </row>
    <row r="28" spans="1:11" x14ac:dyDescent="0.3">
      <c r="A28" s="2">
        <v>27</v>
      </c>
      <c r="B28" s="2" t="s">
        <v>124</v>
      </c>
      <c r="C28" s="2" t="s">
        <v>59</v>
      </c>
      <c r="D28" s="2" t="s">
        <v>125</v>
      </c>
      <c r="E28" s="2" t="s">
        <v>67</v>
      </c>
      <c r="F28" s="2" t="s">
        <v>136</v>
      </c>
      <c r="G28" s="2">
        <v>30</v>
      </c>
      <c r="H28" s="5">
        <v>43465</v>
      </c>
      <c r="I28" s="2" t="s">
        <v>30</v>
      </c>
      <c r="J28" s="8" t="s">
        <v>37</v>
      </c>
      <c r="K28" s="2" t="s">
        <v>77</v>
      </c>
    </row>
    <row r="29" spans="1:11" x14ac:dyDescent="0.3">
      <c r="A29" s="2">
        <v>28</v>
      </c>
      <c r="B29" s="2" t="s">
        <v>126</v>
      </c>
      <c r="C29" s="2" t="s">
        <v>58</v>
      </c>
      <c r="D29" s="2" t="s">
        <v>127</v>
      </c>
      <c r="E29" s="2" t="s">
        <v>67</v>
      </c>
      <c r="F29" s="2" t="s">
        <v>136</v>
      </c>
      <c r="G29" s="2">
        <v>31</v>
      </c>
      <c r="H29" s="5">
        <v>43465</v>
      </c>
      <c r="I29" s="2" t="s">
        <v>30</v>
      </c>
      <c r="J29" s="8" t="s">
        <v>37</v>
      </c>
      <c r="K29" s="2" t="s">
        <v>77</v>
      </c>
    </row>
    <row r="30" spans="1:11" x14ac:dyDescent="0.3">
      <c r="A30" s="2">
        <v>29</v>
      </c>
      <c r="B30" s="2" t="s">
        <v>128</v>
      </c>
      <c r="C30" s="2" t="s">
        <v>58</v>
      </c>
      <c r="D30" s="2" t="s">
        <v>129</v>
      </c>
      <c r="E30" s="2" t="s">
        <v>67</v>
      </c>
      <c r="F30" s="2" t="s">
        <v>136</v>
      </c>
      <c r="G30" s="2">
        <v>32</v>
      </c>
      <c r="H30" s="5">
        <v>43465</v>
      </c>
      <c r="I30" s="2" t="s">
        <v>16</v>
      </c>
      <c r="J30" s="8" t="s">
        <v>37</v>
      </c>
      <c r="K30" s="2" t="s">
        <v>77</v>
      </c>
    </row>
    <row r="31" spans="1:11" x14ac:dyDescent="0.3">
      <c r="A31" s="2">
        <v>30</v>
      </c>
      <c r="B31" s="2" t="s">
        <v>130</v>
      </c>
      <c r="C31" s="2" t="s">
        <v>59</v>
      </c>
      <c r="D31" s="2" t="s">
        <v>131</v>
      </c>
      <c r="E31" s="2" t="s">
        <v>67</v>
      </c>
      <c r="F31" s="2" t="s">
        <v>136</v>
      </c>
      <c r="G31" s="2">
        <v>33</v>
      </c>
      <c r="H31" s="5">
        <v>43465</v>
      </c>
      <c r="I31" s="2" t="s">
        <v>16</v>
      </c>
      <c r="J31" s="8" t="s">
        <v>37</v>
      </c>
      <c r="K31" s="2" t="s">
        <v>77</v>
      </c>
    </row>
    <row r="32" spans="1:11" x14ac:dyDescent="0.3">
      <c r="A32" s="2">
        <v>31</v>
      </c>
      <c r="B32" s="2" t="s">
        <v>132</v>
      </c>
      <c r="C32" s="2" t="s">
        <v>58</v>
      </c>
      <c r="D32" s="2" t="s">
        <v>133</v>
      </c>
      <c r="E32" s="2" t="s">
        <v>67</v>
      </c>
      <c r="F32" s="2" t="s">
        <v>136</v>
      </c>
      <c r="G32" s="2">
        <v>34</v>
      </c>
      <c r="H32" s="5">
        <v>43465</v>
      </c>
      <c r="I32" s="2" t="s">
        <v>16</v>
      </c>
      <c r="J32" s="8" t="s">
        <v>37</v>
      </c>
      <c r="K32" s="2" t="s">
        <v>78</v>
      </c>
    </row>
    <row r="33" spans="1:10" x14ac:dyDescent="0.3">
      <c r="A33" s="2"/>
      <c r="B33" s="2"/>
      <c r="C33" s="2"/>
      <c r="D33" s="2"/>
      <c r="E33" s="2"/>
      <c r="F33" s="2"/>
      <c r="G33" s="2"/>
      <c r="H33" s="2"/>
      <c r="I33" s="2"/>
      <c r="J33" s="8"/>
    </row>
    <row r="34" spans="1:10" x14ac:dyDescent="0.3">
      <c r="A34" s="2"/>
      <c r="B34" s="2"/>
      <c r="C34" s="2"/>
      <c r="D34" s="2"/>
      <c r="E34" s="2"/>
      <c r="F34" s="2"/>
      <c r="G34" s="2"/>
      <c r="H34" s="2"/>
      <c r="I34" s="2"/>
      <c r="J34" s="8"/>
    </row>
    <row r="35" spans="1:10" x14ac:dyDescent="0.3">
      <c r="A35" s="2"/>
      <c r="B35" s="2"/>
      <c r="C35" s="2"/>
      <c r="D35" s="2"/>
      <c r="E35" s="2"/>
      <c r="F35" s="2"/>
      <c r="G35" s="2"/>
      <c r="H35" s="2"/>
      <c r="I35" s="2"/>
      <c r="J35" s="8"/>
    </row>
    <row r="36" spans="1:10" x14ac:dyDescent="0.3">
      <c r="A36" s="2"/>
      <c r="B36" s="2"/>
      <c r="C36" s="2"/>
      <c r="D36" s="2"/>
      <c r="E36" s="2"/>
      <c r="F36" s="2"/>
      <c r="G36" s="2"/>
      <c r="H36" s="2"/>
      <c r="I36" s="2"/>
      <c r="J36" s="8"/>
    </row>
    <row r="37" spans="1:10" x14ac:dyDescent="0.3">
      <c r="A37" s="2"/>
      <c r="B37" s="2"/>
      <c r="C37" s="2"/>
      <c r="D37" s="2"/>
      <c r="E37" s="2"/>
      <c r="F37" s="2"/>
      <c r="G37" s="2"/>
      <c r="H37" s="2"/>
      <c r="I37" s="2"/>
      <c r="J37" s="8"/>
    </row>
    <row r="38" spans="1:10" x14ac:dyDescent="0.3">
      <c r="A38" s="2"/>
      <c r="B38" s="2"/>
      <c r="C38" s="2"/>
      <c r="D38" s="2"/>
      <c r="E38" s="2"/>
      <c r="F38" s="2"/>
      <c r="G38" s="2"/>
      <c r="H38" s="2"/>
      <c r="I38" s="2"/>
      <c r="J38" s="8"/>
    </row>
    <row r="39" spans="1:10" x14ac:dyDescent="0.3">
      <c r="A39" s="2"/>
      <c r="B39" s="2"/>
      <c r="C39" s="2"/>
      <c r="D39" s="2"/>
      <c r="E39" s="2"/>
      <c r="F39" s="2"/>
      <c r="G39" s="2"/>
      <c r="H39" s="2"/>
      <c r="I39" s="2"/>
      <c r="J39" s="8"/>
    </row>
    <row r="40" spans="1:10" x14ac:dyDescent="0.3">
      <c r="A40" s="2"/>
      <c r="B40" s="2"/>
      <c r="C40" s="2"/>
      <c r="D40" s="2"/>
      <c r="E40" s="2"/>
      <c r="F40" s="2"/>
      <c r="G40" s="2"/>
      <c r="H40" s="2"/>
      <c r="I40" s="2"/>
      <c r="J40" s="8"/>
    </row>
    <row r="41" spans="1:10" x14ac:dyDescent="0.3">
      <c r="A41" s="2"/>
      <c r="B41" s="2"/>
      <c r="C41" s="2"/>
      <c r="D41" s="2"/>
      <c r="E41" s="2"/>
      <c r="F41" s="2"/>
      <c r="G41" s="2"/>
      <c r="H41" s="2"/>
      <c r="I41" s="2"/>
      <c r="J41" s="8"/>
    </row>
    <row r="42" spans="1:10" x14ac:dyDescent="0.3">
      <c r="A42" s="2"/>
      <c r="B42" s="2"/>
      <c r="C42" s="2"/>
      <c r="D42" s="2"/>
      <c r="E42" s="2"/>
      <c r="F42" s="2"/>
      <c r="G42" s="2"/>
      <c r="H42" s="2"/>
      <c r="I42" s="2"/>
      <c r="J42" s="8"/>
    </row>
    <row r="43" spans="1:10" x14ac:dyDescent="0.3">
      <c r="A43" s="2"/>
      <c r="B43" s="2"/>
      <c r="C43" s="2"/>
      <c r="D43" s="2"/>
      <c r="E43" s="2"/>
      <c r="F43" s="2"/>
      <c r="G43" s="2"/>
      <c r="H43" s="2"/>
      <c r="I43" s="2"/>
      <c r="J43" s="8"/>
    </row>
    <row r="44" spans="1:10" x14ac:dyDescent="0.3">
      <c r="A44" s="2"/>
      <c r="B44" s="2"/>
      <c r="C44" s="2"/>
      <c r="D44" s="2"/>
      <c r="E44" s="2"/>
      <c r="F44" s="2"/>
      <c r="G44" s="2"/>
      <c r="H44" s="2"/>
      <c r="I44" s="2"/>
      <c r="J44" s="8"/>
    </row>
    <row r="45" spans="1:10" x14ac:dyDescent="0.3">
      <c r="A45" s="2"/>
      <c r="B45" s="2"/>
      <c r="C45" s="2"/>
      <c r="D45" s="2"/>
      <c r="E45" s="2"/>
      <c r="F45" s="2"/>
      <c r="G45" s="2"/>
      <c r="H45" s="2"/>
      <c r="I45" s="2"/>
      <c r="J45" s="8"/>
    </row>
    <row r="46" spans="1:10" x14ac:dyDescent="0.3">
      <c r="A46" s="2"/>
      <c r="B46" s="2"/>
      <c r="C46" s="2"/>
      <c r="D46" s="2"/>
      <c r="E46" s="2"/>
      <c r="F46" s="2"/>
      <c r="G46" s="2"/>
      <c r="H46" s="2"/>
      <c r="I46" s="2"/>
      <c r="J46" s="8"/>
    </row>
    <row r="47" spans="1:10" x14ac:dyDescent="0.3">
      <c r="A47" s="2"/>
      <c r="B47" s="2"/>
      <c r="C47" s="2"/>
      <c r="D47" s="2"/>
      <c r="E47" s="2"/>
      <c r="F47" s="2"/>
      <c r="G47" s="2"/>
      <c r="H47" s="2"/>
      <c r="I47" s="2"/>
      <c r="J47" s="8"/>
    </row>
    <row r="48" spans="1:10" x14ac:dyDescent="0.3">
      <c r="A48" s="2"/>
      <c r="B48" s="2"/>
      <c r="C48" s="2"/>
      <c r="D48" s="2"/>
      <c r="E48" s="2"/>
      <c r="F48" s="2"/>
      <c r="G48" s="2"/>
      <c r="H48" s="2"/>
      <c r="I48" s="2"/>
      <c r="J48" s="8"/>
    </row>
    <row r="49" spans="1:10" x14ac:dyDescent="0.3">
      <c r="A49" s="2"/>
      <c r="B49" s="2"/>
      <c r="C49" s="2"/>
      <c r="D49" s="2"/>
      <c r="E49" s="2"/>
      <c r="F49" s="2"/>
      <c r="G49" s="2"/>
      <c r="H49" s="2"/>
      <c r="I49" s="2"/>
      <c r="J49" s="8"/>
    </row>
    <row r="50" spans="1:10" x14ac:dyDescent="0.3">
      <c r="A50" s="2"/>
      <c r="B50" s="2"/>
      <c r="C50" s="2"/>
      <c r="D50" s="2"/>
      <c r="E50" s="2"/>
      <c r="F50" s="2"/>
      <c r="G50" s="2"/>
      <c r="H50" s="2"/>
      <c r="I50" s="2"/>
      <c r="J50" s="8"/>
    </row>
    <row r="51" spans="1:10" x14ac:dyDescent="0.3">
      <c r="A51" s="2"/>
      <c r="B51" s="2"/>
      <c r="C51" s="2"/>
      <c r="D51" s="2"/>
      <c r="E51" s="2"/>
      <c r="F51" s="2"/>
      <c r="G51" s="2"/>
      <c r="H51" s="2"/>
      <c r="I51" s="2"/>
      <c r="J51" s="8"/>
    </row>
    <row r="52" spans="1:10" x14ac:dyDescent="0.3">
      <c r="A52" s="2"/>
      <c r="B52" s="2"/>
      <c r="C52" s="2"/>
      <c r="D52" s="2"/>
      <c r="E52" s="2"/>
      <c r="F52" s="2"/>
      <c r="G52" s="2"/>
      <c r="H52" s="2"/>
      <c r="I52" s="2"/>
      <c r="J52" s="8"/>
    </row>
    <row r="53" spans="1:10" x14ac:dyDescent="0.3">
      <c r="A53" s="2"/>
      <c r="B53" s="2"/>
      <c r="C53" s="2"/>
      <c r="D53" s="2"/>
      <c r="E53" s="2"/>
      <c r="F53" s="2"/>
      <c r="G53" s="2"/>
      <c r="H53" s="2"/>
      <c r="I53" s="2"/>
      <c r="J53" s="8"/>
    </row>
    <row r="54" spans="1:10" x14ac:dyDescent="0.3">
      <c r="A54" s="2"/>
      <c r="B54" s="2"/>
      <c r="C54" s="2"/>
      <c r="D54" s="2"/>
      <c r="E54" s="2"/>
      <c r="F54" s="2"/>
      <c r="G54" s="2"/>
      <c r="H54" s="2"/>
      <c r="I54" s="2"/>
      <c r="J54" s="8"/>
    </row>
    <row r="55" spans="1:10" x14ac:dyDescent="0.3">
      <c r="A55" s="2"/>
      <c r="B55" s="2"/>
      <c r="C55" s="2"/>
      <c r="D55" s="2"/>
      <c r="E55" s="2"/>
      <c r="F55" s="2"/>
      <c r="G55" s="2"/>
      <c r="H55" s="2"/>
      <c r="I55" s="2"/>
      <c r="J55" s="8"/>
    </row>
    <row r="56" spans="1:10" x14ac:dyDescent="0.3">
      <c r="A56" s="2"/>
      <c r="B56" s="2"/>
      <c r="C56" s="2"/>
      <c r="D56" s="2"/>
      <c r="E56" s="2"/>
      <c r="F56" s="2"/>
      <c r="G56" s="2"/>
      <c r="H56" s="2"/>
      <c r="I56" s="2"/>
      <c r="J56" s="8"/>
    </row>
    <row r="57" spans="1:10" x14ac:dyDescent="0.3">
      <c r="A57" s="2"/>
      <c r="B57" s="2"/>
      <c r="C57" s="2"/>
      <c r="D57" s="2"/>
      <c r="E57" s="2"/>
      <c r="F57" s="2"/>
      <c r="G57" s="2"/>
      <c r="H57" s="2"/>
      <c r="I57" s="2"/>
      <c r="J57" s="8"/>
    </row>
    <row r="58" spans="1:10" x14ac:dyDescent="0.3">
      <c r="A58" s="2"/>
      <c r="B58" s="2"/>
      <c r="C58" s="2"/>
      <c r="D58" s="2"/>
      <c r="E58" s="2"/>
      <c r="F58" s="2"/>
      <c r="G58" s="2"/>
      <c r="H58" s="2"/>
      <c r="I58" s="2"/>
      <c r="J58" s="8"/>
    </row>
    <row r="59" spans="1:10" x14ac:dyDescent="0.3">
      <c r="A59" s="2"/>
      <c r="B59" s="2"/>
      <c r="C59" s="2"/>
      <c r="D59" s="2"/>
      <c r="E59" s="2"/>
      <c r="F59" s="2"/>
      <c r="G59" s="2"/>
      <c r="H59" s="2"/>
      <c r="I59" s="2"/>
      <c r="J59" s="8"/>
    </row>
    <row r="60" spans="1:10" x14ac:dyDescent="0.3">
      <c r="A60" s="2"/>
      <c r="B60" s="2"/>
      <c r="C60" s="2"/>
      <c r="D60" s="2"/>
      <c r="E60" s="2"/>
      <c r="F60" s="2"/>
      <c r="G60" s="2"/>
      <c r="H60" s="2"/>
      <c r="I60" s="2"/>
      <c r="J60" s="8"/>
    </row>
    <row r="61" spans="1:10" x14ac:dyDescent="0.3">
      <c r="A61" s="2"/>
      <c r="B61" s="2"/>
      <c r="C61" s="2"/>
      <c r="D61" s="2"/>
      <c r="E61" s="2"/>
      <c r="F61" s="2"/>
      <c r="G61" s="2"/>
      <c r="H61" s="2"/>
      <c r="I61" s="2"/>
      <c r="J61" s="8"/>
    </row>
    <row r="62" spans="1:10" x14ac:dyDescent="0.3">
      <c r="A62" s="2"/>
      <c r="B62" s="2"/>
      <c r="C62" s="2"/>
      <c r="D62" s="2"/>
      <c r="E62" s="2"/>
      <c r="F62" s="2"/>
      <c r="G62" s="2"/>
      <c r="H62" s="2"/>
      <c r="I62" s="2"/>
      <c r="J62" s="8"/>
    </row>
    <row r="63" spans="1:10" x14ac:dyDescent="0.3">
      <c r="A63" s="2"/>
      <c r="B63" s="2"/>
      <c r="C63" s="2"/>
      <c r="D63" s="2"/>
      <c r="E63" s="2"/>
      <c r="F63" s="2"/>
      <c r="G63" s="2"/>
      <c r="H63" s="2"/>
      <c r="I63" s="2"/>
      <c r="J63" s="8"/>
    </row>
    <row r="64" spans="1:10" x14ac:dyDescent="0.3">
      <c r="A64" s="2"/>
      <c r="B64" s="2"/>
      <c r="C64" s="2"/>
      <c r="D64" s="2"/>
      <c r="E64" s="2"/>
      <c r="F64" s="2"/>
      <c r="G64" s="2"/>
      <c r="H64" s="2"/>
      <c r="I64" s="2"/>
      <c r="J64" s="8"/>
    </row>
    <row r="65" spans="1:10" x14ac:dyDescent="0.3">
      <c r="A65" s="2"/>
      <c r="B65" s="2"/>
      <c r="C65" s="2"/>
      <c r="D65" s="2"/>
      <c r="E65" s="2"/>
      <c r="F65" s="2"/>
      <c r="G65" s="2"/>
      <c r="H65" s="2"/>
      <c r="I65" s="2"/>
      <c r="J65" s="8"/>
    </row>
    <row r="66" spans="1:10" x14ac:dyDescent="0.3">
      <c r="A66" s="2"/>
      <c r="B66" s="2"/>
      <c r="C66" s="2"/>
      <c r="D66" s="2"/>
      <c r="E66" s="2"/>
      <c r="F66" s="2"/>
      <c r="G66" s="2"/>
      <c r="H66" s="2"/>
      <c r="I66" s="2"/>
      <c r="J66" s="8"/>
    </row>
    <row r="67" spans="1:10" x14ac:dyDescent="0.3">
      <c r="A67" s="2"/>
      <c r="B67" s="2"/>
      <c r="C67" s="2"/>
      <c r="D67" s="2"/>
      <c r="E67" s="2"/>
      <c r="F67" s="2"/>
      <c r="G67" s="2"/>
      <c r="H67" s="2"/>
      <c r="I67" s="2"/>
      <c r="J67" s="8"/>
    </row>
    <row r="68" spans="1:10" x14ac:dyDescent="0.3">
      <c r="A68" s="2"/>
      <c r="B68" s="2"/>
      <c r="C68" s="2"/>
      <c r="D68" s="2"/>
      <c r="E68" s="2"/>
      <c r="F68" s="2"/>
      <c r="G68" s="2"/>
      <c r="H68" s="2"/>
      <c r="I68" s="2"/>
      <c r="J68" s="8"/>
    </row>
    <row r="69" spans="1:10" x14ac:dyDescent="0.3">
      <c r="A69" s="2"/>
      <c r="B69" s="2"/>
      <c r="C69" s="2"/>
      <c r="D69" s="2"/>
      <c r="E69" s="2"/>
      <c r="F69" s="2"/>
      <c r="G69" s="2"/>
      <c r="H69" s="2"/>
      <c r="I69" s="2"/>
      <c r="J69" s="8"/>
    </row>
    <row r="70" spans="1:10" x14ac:dyDescent="0.3">
      <c r="A70" s="2"/>
      <c r="B70" s="2"/>
      <c r="C70" s="2"/>
      <c r="D70" s="2"/>
      <c r="E70" s="2"/>
      <c r="F70" s="2"/>
      <c r="G70" s="2"/>
      <c r="H70" s="2"/>
      <c r="I70" s="2"/>
      <c r="J70" s="8"/>
    </row>
    <row r="71" spans="1:10" x14ac:dyDescent="0.3">
      <c r="A71" s="2"/>
      <c r="B71" s="2"/>
      <c r="C71" s="2"/>
      <c r="D71" s="2"/>
      <c r="E71" s="2"/>
      <c r="F71" s="2"/>
      <c r="G71" s="2"/>
      <c r="H71" s="2"/>
      <c r="I71" s="2"/>
      <c r="J71" s="8"/>
    </row>
    <row r="72" spans="1:10" x14ac:dyDescent="0.3">
      <c r="A72" s="2"/>
      <c r="B72" s="2"/>
      <c r="C72" s="2"/>
      <c r="D72" s="2"/>
      <c r="E72" s="2"/>
      <c r="F72" s="2"/>
      <c r="G72" s="2"/>
      <c r="H72" s="2"/>
      <c r="I72" s="2"/>
      <c r="J72" s="8"/>
    </row>
    <row r="73" spans="1:10" x14ac:dyDescent="0.3">
      <c r="A73" s="2"/>
      <c r="B73" s="2"/>
      <c r="C73" s="2"/>
      <c r="D73" s="2"/>
      <c r="E73" s="2"/>
      <c r="F73" s="2"/>
      <c r="G73" s="2"/>
      <c r="H73" s="2"/>
      <c r="I73" s="2"/>
      <c r="J73" s="8"/>
    </row>
    <row r="74" spans="1:10" x14ac:dyDescent="0.3">
      <c r="A74" s="2"/>
      <c r="B74" s="2"/>
      <c r="C74" s="2"/>
      <c r="D74" s="2"/>
      <c r="E74" s="2"/>
      <c r="F74" s="2"/>
      <c r="G74" s="2"/>
      <c r="H74" s="2"/>
      <c r="I74" s="2"/>
      <c r="J74" s="8"/>
    </row>
    <row r="75" spans="1:10" x14ac:dyDescent="0.3">
      <c r="A75" s="2"/>
      <c r="B75" s="2"/>
      <c r="C75" s="2"/>
      <c r="D75" s="2"/>
      <c r="E75" s="2"/>
      <c r="F75" s="2"/>
      <c r="G75" s="2"/>
      <c r="H75" s="2"/>
      <c r="I75" s="2"/>
      <c r="J75" s="8"/>
    </row>
    <row r="76" spans="1:10" x14ac:dyDescent="0.3">
      <c r="A76" s="2"/>
      <c r="B76" s="2"/>
      <c r="C76" s="2"/>
      <c r="D76" s="2"/>
      <c r="E76" s="2"/>
      <c r="F76" s="2"/>
      <c r="G76" s="2"/>
      <c r="H76" s="2"/>
      <c r="I76" s="2"/>
      <c r="J76" s="8"/>
    </row>
    <row r="77" spans="1:10" x14ac:dyDescent="0.3">
      <c r="A77" s="2"/>
      <c r="B77" s="2"/>
      <c r="C77" s="2"/>
      <c r="D77" s="2"/>
      <c r="E77" s="2"/>
      <c r="F77" s="2"/>
      <c r="G77" s="2"/>
      <c r="H77" s="2"/>
      <c r="I77" s="2"/>
      <c r="J77" s="8"/>
    </row>
    <row r="78" spans="1:10" x14ac:dyDescent="0.3">
      <c r="A78" s="2"/>
      <c r="B78" s="2"/>
      <c r="C78" s="2"/>
      <c r="D78" s="2"/>
      <c r="E78" s="2"/>
      <c r="F78" s="2"/>
      <c r="G78" s="2"/>
      <c r="H78" s="2"/>
      <c r="I78" s="2"/>
      <c r="J78" s="8"/>
    </row>
    <row r="79" spans="1:10" x14ac:dyDescent="0.3">
      <c r="A79" s="2"/>
      <c r="B79" s="2"/>
      <c r="C79" s="2"/>
      <c r="D79" s="2"/>
      <c r="E79" s="2"/>
      <c r="F79" s="2"/>
      <c r="G79" s="2"/>
      <c r="H79" s="2"/>
      <c r="I79" s="2"/>
      <c r="J79" s="8"/>
    </row>
    <row r="80" spans="1:10" x14ac:dyDescent="0.3">
      <c r="A80" s="2"/>
      <c r="B80" s="2"/>
      <c r="C80" s="2"/>
      <c r="D80" s="2"/>
      <c r="E80" s="2"/>
      <c r="F80" s="2"/>
      <c r="G80" s="2"/>
      <c r="H80" s="2"/>
      <c r="I80" s="2"/>
      <c r="J80" s="8"/>
    </row>
    <row r="81" spans="1:10" x14ac:dyDescent="0.3">
      <c r="A81" s="2"/>
      <c r="B81" s="2"/>
      <c r="C81" s="2"/>
      <c r="D81" s="2"/>
      <c r="E81" s="2"/>
      <c r="F81" s="2"/>
      <c r="G81" s="2"/>
      <c r="H81" s="2"/>
      <c r="I81" s="2"/>
      <c r="J81" s="8"/>
    </row>
    <row r="82" spans="1:10" x14ac:dyDescent="0.3">
      <c r="A82" s="2"/>
      <c r="B82" s="2"/>
      <c r="C82" s="2"/>
      <c r="D82" s="2"/>
      <c r="E82" s="2"/>
      <c r="F82" s="2"/>
      <c r="G82" s="2"/>
      <c r="H82" s="2"/>
      <c r="I82" s="2"/>
      <c r="J82" s="8"/>
    </row>
    <row r="83" spans="1:10" x14ac:dyDescent="0.3">
      <c r="A83" s="2"/>
      <c r="B83" s="2"/>
      <c r="C83" s="2"/>
      <c r="D83" s="2"/>
      <c r="E83" s="2"/>
      <c r="F83" s="2"/>
      <c r="G83" s="2"/>
      <c r="H83" s="2"/>
      <c r="I83" s="2"/>
      <c r="J83" s="8"/>
    </row>
    <row r="84" spans="1:10" x14ac:dyDescent="0.3">
      <c r="A84" s="2"/>
      <c r="B84" s="2"/>
      <c r="C84" s="2"/>
      <c r="D84" s="2"/>
      <c r="E84" s="2"/>
      <c r="F84" s="2"/>
      <c r="G84" s="2"/>
      <c r="H84" s="2"/>
      <c r="I84" s="2"/>
      <c r="J84" s="8"/>
    </row>
    <row r="85" spans="1:10" x14ac:dyDescent="0.3">
      <c r="A85" s="2"/>
      <c r="B85" s="2"/>
      <c r="C85" s="2"/>
      <c r="D85" s="2"/>
      <c r="E85" s="2"/>
      <c r="F85" s="2"/>
      <c r="G85" s="2"/>
      <c r="H85" s="2"/>
      <c r="I85" s="2"/>
      <c r="J85" s="8"/>
    </row>
    <row r="86" spans="1:10" x14ac:dyDescent="0.3">
      <c r="A86" s="2"/>
      <c r="B86" s="2"/>
      <c r="C86" s="2"/>
      <c r="D86" s="2"/>
      <c r="E86" s="2"/>
      <c r="F86" s="2"/>
      <c r="G86" s="2"/>
      <c r="H86" s="2"/>
      <c r="I86" s="2"/>
      <c r="J86" s="8"/>
    </row>
    <row r="87" spans="1:10" x14ac:dyDescent="0.3">
      <c r="A87" s="2"/>
      <c r="B87" s="2"/>
      <c r="C87" s="2"/>
      <c r="D87" s="2"/>
      <c r="E87" s="2"/>
      <c r="F87" s="2"/>
      <c r="G87" s="2"/>
      <c r="H87" s="2"/>
      <c r="I87" s="2"/>
      <c r="J87" s="8"/>
    </row>
    <row r="88" spans="1:10" x14ac:dyDescent="0.3">
      <c r="A88" s="2"/>
      <c r="B88" s="2"/>
      <c r="C88" s="2"/>
      <c r="D88" s="2"/>
      <c r="E88" s="2"/>
      <c r="F88" s="2"/>
      <c r="G88" s="2"/>
      <c r="H88" s="2"/>
      <c r="I88" s="2"/>
      <c r="J88" s="8"/>
    </row>
    <row r="89" spans="1:10" x14ac:dyDescent="0.3">
      <c r="A89" s="2"/>
      <c r="B89" s="2"/>
      <c r="C89" s="2"/>
      <c r="D89" s="2"/>
      <c r="E89" s="2"/>
      <c r="F89" s="2"/>
      <c r="G89" s="2"/>
      <c r="H89" s="2"/>
      <c r="I89" s="2"/>
      <c r="J89" s="8"/>
    </row>
    <row r="90" spans="1:10" x14ac:dyDescent="0.3">
      <c r="A90" s="2"/>
      <c r="B90" s="2"/>
      <c r="C90" s="2"/>
      <c r="D90" s="2"/>
      <c r="E90" s="2"/>
      <c r="F90" s="2"/>
      <c r="G90" s="2"/>
      <c r="H90" s="2"/>
      <c r="I90" s="2"/>
      <c r="J90" s="8"/>
    </row>
    <row r="91" spans="1:10" x14ac:dyDescent="0.3">
      <c r="A91" s="2"/>
      <c r="B91" s="2"/>
      <c r="C91" s="2"/>
      <c r="D91" s="2"/>
      <c r="E91" s="2"/>
      <c r="F91" s="2"/>
      <c r="G91" s="2"/>
      <c r="H91" s="2"/>
      <c r="I91" s="2"/>
      <c r="J91" s="8"/>
    </row>
    <row r="92" spans="1:10" x14ac:dyDescent="0.3">
      <c r="A92" s="2"/>
      <c r="B92" s="2"/>
      <c r="C92" s="2"/>
      <c r="D92" s="2"/>
      <c r="E92" s="2"/>
      <c r="F92" s="2"/>
      <c r="G92" s="2"/>
      <c r="H92" s="2"/>
      <c r="I92" s="2"/>
      <c r="J92" s="8"/>
    </row>
    <row r="93" spans="1:10" x14ac:dyDescent="0.3">
      <c r="A93" s="2"/>
      <c r="B93" s="2"/>
      <c r="C93" s="2"/>
      <c r="D93" s="2"/>
      <c r="E93" s="2"/>
      <c r="F93" s="2"/>
      <c r="G93" s="2"/>
      <c r="H93" s="2"/>
      <c r="I93" s="2"/>
      <c r="J93" s="8"/>
    </row>
    <row r="94" spans="1:10" x14ac:dyDescent="0.3">
      <c r="A94" s="2"/>
      <c r="B94" s="2"/>
      <c r="C94" s="2"/>
      <c r="D94" s="2"/>
      <c r="E94" s="2"/>
      <c r="F94" s="2"/>
      <c r="G94" s="2"/>
      <c r="H94" s="2"/>
      <c r="I94" s="2"/>
      <c r="J94" s="8"/>
    </row>
    <row r="95" spans="1:10" x14ac:dyDescent="0.3">
      <c r="A95" s="2"/>
      <c r="B95" s="2"/>
      <c r="C95" s="2"/>
      <c r="D95" s="2"/>
      <c r="E95" s="2"/>
      <c r="F95" s="2"/>
      <c r="G95" s="2"/>
      <c r="H95" s="2"/>
      <c r="I95" s="2"/>
      <c r="J95" s="8"/>
    </row>
    <row r="96" spans="1:10" x14ac:dyDescent="0.3">
      <c r="A96" s="2"/>
      <c r="B96" s="2"/>
      <c r="C96" s="2"/>
      <c r="D96" s="2"/>
      <c r="E96" s="2"/>
      <c r="F96" s="2"/>
      <c r="G96" s="2"/>
      <c r="H96" s="2"/>
      <c r="I96" s="2"/>
      <c r="J96" s="8"/>
    </row>
    <row r="97" spans="1:10" x14ac:dyDescent="0.3">
      <c r="A97" s="2"/>
      <c r="B97" s="2"/>
      <c r="C97" s="2"/>
      <c r="D97" s="2"/>
      <c r="E97" s="2"/>
      <c r="F97" s="2"/>
      <c r="G97" s="2"/>
      <c r="H97" s="2"/>
      <c r="I97" s="2"/>
      <c r="J97" s="8"/>
    </row>
    <row r="98" spans="1:10" x14ac:dyDescent="0.3">
      <c r="A98" s="2"/>
      <c r="B98" s="2"/>
      <c r="C98" s="2"/>
      <c r="D98" s="2"/>
      <c r="E98" s="2"/>
      <c r="F98" s="2"/>
      <c r="G98" s="2"/>
      <c r="H98" s="2"/>
      <c r="I98" s="2"/>
      <c r="J98" s="8"/>
    </row>
    <row r="99" spans="1:10" x14ac:dyDescent="0.3">
      <c r="A99" s="2"/>
      <c r="B99" s="2"/>
      <c r="C99" s="2"/>
      <c r="D99" s="2"/>
      <c r="E99" s="2"/>
      <c r="F99" s="2"/>
      <c r="G99" s="2"/>
      <c r="H99" s="2"/>
      <c r="I99" s="2"/>
      <c r="J99" s="8"/>
    </row>
    <row r="100" spans="1:10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8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0"/>
  <sheetViews>
    <sheetView workbookViewId="0">
      <selection activeCell="M16" sqref="M16"/>
    </sheetView>
  </sheetViews>
  <sheetFormatPr defaultRowHeight="14.4" x14ac:dyDescent="0.3"/>
  <cols>
    <col min="1" max="1" width="14" bestFit="1" customWidth="1"/>
    <col min="2" max="2" width="13.6640625" bestFit="1" customWidth="1"/>
    <col min="4" max="4" width="14.88671875" bestFit="1" customWidth="1"/>
  </cols>
  <sheetData>
    <row r="1" spans="1:4" x14ac:dyDescent="0.3">
      <c r="A1" s="2" t="s">
        <v>48</v>
      </c>
      <c r="B1" s="10" t="s">
        <v>44</v>
      </c>
      <c r="C1" s="2" t="s">
        <v>45</v>
      </c>
      <c r="D1" s="2" t="s">
        <v>46</v>
      </c>
    </row>
    <row r="2" spans="1:4" x14ac:dyDescent="0.3">
      <c r="A2" s="8" t="s">
        <v>39</v>
      </c>
      <c r="B2" s="11" t="s">
        <v>75</v>
      </c>
      <c r="C2" s="9" t="s">
        <v>50</v>
      </c>
      <c r="D2" s="2" t="s">
        <v>49</v>
      </c>
    </row>
    <row r="3" spans="1:4" x14ac:dyDescent="0.3">
      <c r="A3" s="8" t="s">
        <v>40</v>
      </c>
      <c r="B3" s="11" t="s">
        <v>68</v>
      </c>
      <c r="C3" s="9" t="s">
        <v>50</v>
      </c>
      <c r="D3" s="2" t="s">
        <v>49</v>
      </c>
    </row>
    <row r="4" spans="1:4" x14ac:dyDescent="0.3">
      <c r="A4" s="8" t="s">
        <v>41</v>
      </c>
      <c r="B4" s="11" t="s">
        <v>2</v>
      </c>
      <c r="C4" s="9" t="s">
        <v>51</v>
      </c>
      <c r="D4" s="2" t="s">
        <v>137</v>
      </c>
    </row>
    <row r="5" spans="1:4" x14ac:dyDescent="0.3">
      <c r="A5" s="8" t="s">
        <v>42</v>
      </c>
      <c r="B5" s="11" t="s">
        <v>3</v>
      </c>
      <c r="C5" s="9" t="s">
        <v>47</v>
      </c>
      <c r="D5" s="2" t="s">
        <v>49</v>
      </c>
    </row>
    <row r="6" spans="1:4" x14ac:dyDescent="0.3">
      <c r="A6" s="8" t="s">
        <v>43</v>
      </c>
      <c r="B6" s="11" t="s">
        <v>57</v>
      </c>
      <c r="C6" s="9" t="s">
        <v>47</v>
      </c>
      <c r="D6" s="2" t="s">
        <v>49</v>
      </c>
    </row>
    <row r="8" spans="1:4" x14ac:dyDescent="0.3">
      <c r="A8" s="23" t="s">
        <v>79</v>
      </c>
      <c r="B8" s="23"/>
      <c r="C8" s="23"/>
      <c r="D8" s="23"/>
    </row>
    <row r="9" spans="1:4" x14ac:dyDescent="0.3">
      <c r="A9" s="2" t="s">
        <v>80</v>
      </c>
      <c r="B9" s="24" t="s">
        <v>76</v>
      </c>
      <c r="C9" s="24"/>
      <c r="D9" s="24"/>
    </row>
    <row r="10" spans="1:4" x14ac:dyDescent="0.3">
      <c r="A10" s="2" t="s">
        <v>81</v>
      </c>
      <c r="B10" s="24" t="s">
        <v>78</v>
      </c>
      <c r="C10" s="24"/>
      <c r="D10" s="24"/>
    </row>
  </sheetData>
  <mergeCells count="3">
    <mergeCell ref="A8:D8"/>
    <mergeCell ref="B9:D9"/>
    <mergeCell ref="B10:D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reamlit_conn.Streamlit_Conn">
                <anchor moveWithCells="1" sizeWithCells="1">
                  <from>
                    <xdr:col>4</xdr:col>
                    <xdr:colOff>327660</xdr:colOff>
                    <xdr:row>0</xdr:row>
                    <xdr:rowOff>99060</xdr:rowOff>
                  </from>
                  <to>
                    <xdr:col>8</xdr:col>
                    <xdr:colOff>373380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Registration</vt:lpstr>
      <vt:lpstr>Master_Control</vt:lpstr>
      <vt:lpstr>Attendance_Sheet</vt:lpstr>
      <vt:lpstr>streamlit_reference_sheet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HYK</dc:creator>
  <cp:lastModifiedBy>HO_YONG_KIAN</cp:lastModifiedBy>
  <dcterms:created xsi:type="dcterms:W3CDTF">2020-01-10T12:07:04Z</dcterms:created>
  <dcterms:modified xsi:type="dcterms:W3CDTF">2020-06-17T11:25:27Z</dcterms:modified>
</cp:coreProperties>
</file>